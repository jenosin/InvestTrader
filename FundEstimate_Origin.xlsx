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oding\source\repos\InvestTrader\"/>
    </mc:Choice>
  </mc:AlternateContent>
  <xr:revisionPtr revIDLastSave="0" documentId="13_ncr:1_{51B7716B-0C3B-45AF-A6CB-323C9C62FE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金操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G29" i="1"/>
  <c r="G28" i="1"/>
  <c r="G27" i="1"/>
  <c r="G21" i="1"/>
  <c r="G22" i="1"/>
  <c r="G23" i="1"/>
  <c r="G24" i="1"/>
  <c r="G25" i="1"/>
  <c r="G26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30" i="1" s="1"/>
  <c r="A1" i="1"/>
</calcChain>
</file>

<file path=xl/sharedStrings.xml><?xml version="1.0" encoding="utf-8"?>
<sst xmlns="http://schemas.openxmlformats.org/spreadsheetml/2006/main" count="110" uniqueCount="92">
  <si>
    <t>基金代码</t>
  </si>
  <si>
    <t>基金名称</t>
  </si>
  <si>
    <t>追踪ETF/指数</t>
  </si>
  <si>
    <t>预估涨跌幅</t>
  </si>
  <si>
    <t>资金</t>
  </si>
  <si>
    <t>预估涨跌</t>
  </si>
  <si>
    <t>操作建议</t>
  </si>
  <si>
    <t>017437</t>
  </si>
  <si>
    <t>华宝纳斯达克精选股票发起式(QDII)C</t>
  </si>
  <si>
    <t>NVDA</t>
  </si>
  <si>
    <t>2.17%</t>
  </si>
  <si>
    <t>上升趋势，加仓 200.00</t>
  </si>
  <si>
    <t>011103</t>
  </si>
  <si>
    <t>天弘中证光伏产业指数C</t>
  </si>
  <si>
    <t>300274</t>
  </si>
  <si>
    <t>5.09%</t>
  </si>
  <si>
    <t>161724</t>
  </si>
  <si>
    <t>招商中证煤炭等权指数(LOF)A</t>
  </si>
  <si>
    <t>601699</t>
  </si>
  <si>
    <t>4.93%</t>
  </si>
  <si>
    <t>015794</t>
  </si>
  <si>
    <t>天弘创业板指数增强A</t>
  </si>
  <si>
    <t>300750</t>
  </si>
  <si>
    <t>-0.49%</t>
  </si>
  <si>
    <t>未明确信号，保守处理</t>
  </si>
  <si>
    <t>006939</t>
  </si>
  <si>
    <t>鹏华沪深300ETF联接(LOF)C</t>
  </si>
  <si>
    <t>300059</t>
  </si>
  <si>
    <t>0.24%</t>
  </si>
  <si>
    <t>014172</t>
  </si>
  <si>
    <t>富国中证工业4.0指数(LOF)C</t>
  </si>
  <si>
    <t>603019</t>
  </si>
  <si>
    <t>0.01%</t>
  </si>
  <si>
    <t>高度震荡，逢低吸纳 200.00</t>
  </si>
  <si>
    <t>012734</t>
  </si>
  <si>
    <t>易方达中证人工智能主题ETF联接C</t>
  </si>
  <si>
    <t>1.48%</t>
  </si>
  <si>
    <t>022500</t>
  </si>
  <si>
    <t>国泰中证全指通信设备ETF联接E</t>
  </si>
  <si>
    <t>0.35%</t>
  </si>
  <si>
    <t>016566</t>
  </si>
  <si>
    <t>嘉实中证电池主题ETF发起联接A</t>
  </si>
  <si>
    <t>7.55%</t>
  </si>
  <si>
    <t>010955</t>
  </si>
  <si>
    <t>天弘中证智能汽车指数发起式A</t>
  </si>
  <si>
    <t>002475</t>
  </si>
  <si>
    <t>-0.13%</t>
  </si>
  <si>
    <t>020981</t>
  </si>
  <si>
    <t>华安国证机器人产业指数发起式A</t>
  </si>
  <si>
    <t>002472</t>
  </si>
  <si>
    <t>-1.83%</t>
  </si>
  <si>
    <t>低位震荡，暂不操作</t>
  </si>
  <si>
    <t>-0.17%</t>
  </si>
  <si>
    <t>020629</t>
  </si>
  <si>
    <t>汇添富上证科创板芯片ETF发起式联接C</t>
  </si>
  <si>
    <t>013195</t>
  </si>
  <si>
    <t>招商中证新能源汽车指数A</t>
  </si>
  <si>
    <t>025209</t>
  </si>
  <si>
    <t>永赢先锋半导体智选混合发起C</t>
  </si>
  <si>
    <t>301308</t>
  </si>
  <si>
    <t>6.77%</t>
  </si>
  <si>
    <t>错误</t>
  </si>
  <si>
    <t>006888</t>
  </si>
  <si>
    <t>诺德新生活混合C</t>
  </si>
  <si>
    <t>688498</t>
  </si>
  <si>
    <t>4.12%</t>
  </si>
  <si>
    <t>011188</t>
  </si>
  <si>
    <t>信澳星奕混合A</t>
  </si>
  <si>
    <t>601127</t>
  </si>
  <si>
    <t>-1.53%</t>
  </si>
  <si>
    <t>下跌趋势，分阶段减仓 20.00% 仓位</t>
  </si>
  <si>
    <t>006327</t>
  </si>
  <si>
    <t>易方达中证海外互联网50ETF联接(QDII)A</t>
  </si>
  <si>
    <t>015282</t>
  </si>
  <si>
    <t>华安恒生科技ETF发起式联接(QDII)A</t>
  </si>
  <si>
    <t>011036</t>
    <phoneticPr fontId="1" type="noConversion"/>
  </si>
  <si>
    <t>012733</t>
    <phoneticPr fontId="1" type="noConversion"/>
  </si>
  <si>
    <t>018956</t>
    <phoneticPr fontId="1" type="noConversion"/>
  </si>
  <si>
    <t>010955</t>
    <phoneticPr fontId="1" type="noConversion"/>
  </si>
  <si>
    <t>000834</t>
    <phoneticPr fontId="1" type="noConversion"/>
  </si>
  <si>
    <t>018897</t>
    <phoneticPr fontId="1" type="noConversion"/>
  </si>
  <si>
    <t>562950</t>
    <phoneticPr fontId="1" type="noConversion"/>
  </si>
  <si>
    <t>016202</t>
    <phoneticPr fontId="1" type="noConversion"/>
  </si>
  <si>
    <t>513050</t>
    <phoneticPr fontId="1" type="noConversion"/>
  </si>
  <si>
    <t>014777</t>
    <phoneticPr fontId="1" type="noConversion"/>
  </si>
  <si>
    <t>516640</t>
    <phoneticPr fontId="1" type="noConversion"/>
  </si>
  <si>
    <t>159819</t>
    <phoneticPr fontId="1" type="noConversion"/>
  </si>
  <si>
    <t>追踪ETF/指数名称</t>
    <phoneticPr fontId="1" type="noConversion"/>
  </si>
  <si>
    <t>515880</t>
    <phoneticPr fontId="1" type="noConversion"/>
  </si>
  <si>
    <t>562880</t>
    <phoneticPr fontId="1" type="noConversion"/>
  </si>
  <si>
    <t>588750</t>
    <phoneticPr fontId="1" type="noConversion"/>
  </si>
  <si>
    <t>019305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</si>
</sst>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name val="等线"/>
      <family val="3"/>
      <charset val="134"/>
    </font>
    <font>
      <b/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11" workbookViewId="0">
      <selection activeCell="H20" sqref="H20"/>
    </sheetView>
  </sheetViews>
  <sheetFormatPr defaultColWidth="10.125" defaultRowHeight="24.75" customHeight="1" x14ac:dyDescent="0.15"/>
  <cols>
    <col min="1" max="1" width="9.75" style="10" bestFit="1" customWidth="1"/>
    <col min="2" max="2" width="39.75" style="3" bestFit="1" customWidth="1"/>
    <col min="3" max="3" width="14.125" style="10" bestFit="1" customWidth="1"/>
    <col min="4" max="4" width="24.375" style="10" customWidth="1"/>
    <col min="5" max="5" width="15" style="3" customWidth="1"/>
    <col min="6" max="6" width="12.5" style="3" customWidth="1"/>
    <col min="7" max="7" width="15.625" style="3" customWidth="1"/>
    <col min="8" max="8" width="39.75" style="3" customWidth="1"/>
    <col min="9" max="10" width="10.125" style="3" customWidth="1"/>
    <col min="11" max="16384" width="10.125" style="3"/>
  </cols>
  <sheetData>
    <row r="1" spans="1:8" ht="24.75" customHeight="1" x14ac:dyDescent="0.15">
      <c r="A1" s="5">
        <f ca="1">TODAY()</f>
        <v>45965</v>
      </c>
      <c r="B1" s="6"/>
      <c r="C1" s="6"/>
      <c r="D1" s="6"/>
      <c r="E1" s="6"/>
      <c r="F1" s="6"/>
      <c r="G1" s="6"/>
      <c r="H1" s="7"/>
    </row>
    <row r="2" spans="1:8" ht="24.75" customHeight="1" x14ac:dyDescent="0.15">
      <c r="A2" s="8" t="s">
        <v>0</v>
      </c>
      <c r="B2" s="1" t="s">
        <v>1</v>
      </c>
      <c r="C2" s="8" t="s">
        <v>2</v>
      </c>
      <c r="D2" s="8" t="s">
        <v>87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24.75" customHeight="1" x14ac:dyDescent="0.15">
      <c r="A3" s="9" t="s">
        <v>7</v>
      </c>
      <c r="B3" s="2" t="s">
        <v>8</v>
      </c>
      <c r="C3" s="9" t="s">
        <v>9</v>
      </c>
      <c r="D3" s="9"/>
      <c r="E3" s="2" t="s">
        <v>10</v>
      </c>
      <c r="F3" s="2">
        <v>4200</v>
      </c>
      <c r="G3" s="4">
        <f t="shared" ref="G3:G29" si="0">F3*E3</f>
        <v>91.14</v>
      </c>
      <c r="H3" s="2" t="s">
        <v>11</v>
      </c>
    </row>
    <row r="4" spans="1:8" ht="24.75" customHeight="1" x14ac:dyDescent="0.15">
      <c r="A4" s="9" t="s">
        <v>12</v>
      </c>
      <c r="B4" s="2" t="s">
        <v>13</v>
      </c>
      <c r="C4" s="9" t="s">
        <v>14</v>
      </c>
      <c r="D4" s="9"/>
      <c r="E4" s="2" t="s">
        <v>15</v>
      </c>
      <c r="F4" s="2">
        <v>2300</v>
      </c>
      <c r="G4" s="4">
        <f t="shared" si="0"/>
        <v>117.07000000000001</v>
      </c>
      <c r="H4" s="2" t="s">
        <v>11</v>
      </c>
    </row>
    <row r="5" spans="1:8" ht="24.75" customHeight="1" x14ac:dyDescent="0.15">
      <c r="A5" s="9" t="s">
        <v>16</v>
      </c>
      <c r="B5" s="2" t="s">
        <v>17</v>
      </c>
      <c r="C5" s="9" t="s">
        <v>18</v>
      </c>
      <c r="D5" s="9"/>
      <c r="E5" s="2" t="s">
        <v>19</v>
      </c>
      <c r="F5" s="2">
        <v>1000</v>
      </c>
      <c r="G5" s="4">
        <f t="shared" si="0"/>
        <v>49.3</v>
      </c>
      <c r="H5" s="2" t="s">
        <v>11</v>
      </c>
    </row>
    <row r="6" spans="1:8" ht="24.75" customHeight="1" x14ac:dyDescent="0.15">
      <c r="A6" s="9" t="s">
        <v>20</v>
      </c>
      <c r="B6" s="2" t="s">
        <v>21</v>
      </c>
      <c r="C6" s="9" t="s">
        <v>22</v>
      </c>
      <c r="D6" s="9"/>
      <c r="E6" s="2" t="s">
        <v>23</v>
      </c>
      <c r="F6" s="2">
        <v>3500</v>
      </c>
      <c r="G6" s="4">
        <f t="shared" si="0"/>
        <v>-17.149999999999999</v>
      </c>
      <c r="H6" s="2" t="s">
        <v>24</v>
      </c>
    </row>
    <row r="7" spans="1:8" ht="24.75" customHeight="1" x14ac:dyDescent="0.15">
      <c r="A7" s="9" t="s">
        <v>25</v>
      </c>
      <c r="B7" s="2" t="s">
        <v>26</v>
      </c>
      <c r="C7" s="9" t="s">
        <v>27</v>
      </c>
      <c r="D7" s="9"/>
      <c r="E7" s="2" t="s">
        <v>28</v>
      </c>
      <c r="F7" s="2">
        <v>2400</v>
      </c>
      <c r="G7" s="4">
        <f t="shared" si="0"/>
        <v>5.76</v>
      </c>
      <c r="H7" s="2" t="s">
        <v>11</v>
      </c>
    </row>
    <row r="8" spans="1:8" ht="24.75" customHeight="1" x14ac:dyDescent="0.15">
      <c r="A8" s="9" t="s">
        <v>29</v>
      </c>
      <c r="B8" s="2" t="s">
        <v>30</v>
      </c>
      <c r="C8" s="9" t="s">
        <v>31</v>
      </c>
      <c r="D8" s="9"/>
      <c r="E8" s="2" t="s">
        <v>32</v>
      </c>
      <c r="F8" s="2">
        <v>1800</v>
      </c>
      <c r="G8" s="4">
        <f t="shared" si="0"/>
        <v>0.18000000000000002</v>
      </c>
      <c r="H8" s="2" t="s">
        <v>33</v>
      </c>
    </row>
    <row r="9" spans="1:8" ht="24.75" customHeight="1" x14ac:dyDescent="0.15">
      <c r="A9" s="9" t="s">
        <v>34</v>
      </c>
      <c r="B9" s="2" t="s">
        <v>35</v>
      </c>
      <c r="C9" s="9" t="s">
        <v>86</v>
      </c>
      <c r="D9" s="9"/>
      <c r="E9" s="2" t="s">
        <v>36</v>
      </c>
      <c r="F9" s="2">
        <v>1100</v>
      </c>
      <c r="G9" s="4">
        <f t="shared" si="0"/>
        <v>16.28</v>
      </c>
      <c r="H9" s="2" t="s">
        <v>24</v>
      </c>
    </row>
    <row r="10" spans="1:8" ht="24.75" customHeight="1" x14ac:dyDescent="0.15">
      <c r="A10" s="9" t="s">
        <v>37</v>
      </c>
      <c r="B10" s="2" t="s">
        <v>38</v>
      </c>
      <c r="C10" s="9" t="s">
        <v>88</v>
      </c>
      <c r="D10" s="9"/>
      <c r="E10" s="2" t="s">
        <v>39</v>
      </c>
      <c r="F10" s="2">
        <v>1000</v>
      </c>
      <c r="G10" s="4">
        <f t="shared" si="0"/>
        <v>3.5</v>
      </c>
      <c r="H10" s="2" t="s">
        <v>24</v>
      </c>
    </row>
    <row r="11" spans="1:8" ht="24.75" customHeight="1" x14ac:dyDescent="0.15">
      <c r="A11" s="9" t="s">
        <v>40</v>
      </c>
      <c r="B11" s="2" t="s">
        <v>41</v>
      </c>
      <c r="C11" s="9" t="s">
        <v>89</v>
      </c>
      <c r="D11" s="9"/>
      <c r="E11" s="2" t="s">
        <v>42</v>
      </c>
      <c r="F11" s="2">
        <v>1200</v>
      </c>
      <c r="G11" s="4">
        <f t="shared" si="0"/>
        <v>90.6</v>
      </c>
      <c r="H11" s="2" t="s">
        <v>11</v>
      </c>
    </row>
    <row r="12" spans="1:8" ht="24.75" customHeight="1" x14ac:dyDescent="0.15">
      <c r="A12" s="9" t="s">
        <v>43</v>
      </c>
      <c r="B12" s="2" t="s">
        <v>44</v>
      </c>
      <c r="C12" s="9" t="s">
        <v>45</v>
      </c>
      <c r="D12" s="9"/>
      <c r="E12" s="2" t="s">
        <v>46</v>
      </c>
      <c r="F12" s="2">
        <v>2200</v>
      </c>
      <c r="G12" s="4">
        <f t="shared" si="0"/>
        <v>-2.86</v>
      </c>
      <c r="H12" s="2" t="s">
        <v>33</v>
      </c>
    </row>
    <row r="13" spans="1:8" ht="24.75" customHeight="1" x14ac:dyDescent="0.15">
      <c r="A13" s="9" t="s">
        <v>47</v>
      </c>
      <c r="B13" s="2" t="s">
        <v>48</v>
      </c>
      <c r="C13" s="9" t="s">
        <v>49</v>
      </c>
      <c r="D13" s="9"/>
      <c r="E13" s="2" t="s">
        <v>50</v>
      </c>
      <c r="F13" s="2">
        <v>2100</v>
      </c>
      <c r="G13" s="4">
        <f t="shared" si="0"/>
        <v>-38.43</v>
      </c>
      <c r="H13" s="2" t="s">
        <v>51</v>
      </c>
    </row>
    <row r="14" spans="1:8" ht="24.75" customHeight="1" x14ac:dyDescent="0.15">
      <c r="A14" s="9" t="s">
        <v>84</v>
      </c>
      <c r="B14" s="2"/>
      <c r="C14" s="9" t="s">
        <v>85</v>
      </c>
      <c r="D14" s="9"/>
      <c r="E14" s="2" t="s">
        <v>52</v>
      </c>
      <c r="F14" s="2">
        <v>3000</v>
      </c>
      <c r="G14" s="4">
        <f t="shared" si="0"/>
        <v>-5.0999999999999996</v>
      </c>
      <c r="H14" s="2" t="s">
        <v>33</v>
      </c>
    </row>
    <row r="15" spans="1:8" ht="24.75" customHeight="1" x14ac:dyDescent="0.15">
      <c r="A15" s="9" t="s">
        <v>53</v>
      </c>
      <c r="B15" s="2" t="s">
        <v>54</v>
      </c>
      <c r="C15" s="9" t="s">
        <v>90</v>
      </c>
      <c r="D15" s="9"/>
      <c r="E15" s="2" t="s">
        <v>52</v>
      </c>
      <c r="F15" s="2">
        <v>1300</v>
      </c>
      <c r="G15" s="4">
        <f t="shared" si="0"/>
        <v>-2.21</v>
      </c>
      <c r="H15" s="2" t="s">
        <v>33</v>
      </c>
    </row>
    <row r="16" spans="1:8" ht="24.75" customHeight="1" x14ac:dyDescent="0.15">
      <c r="A16" s="9" t="s">
        <v>55</v>
      </c>
      <c r="B16" s="2" t="s">
        <v>56</v>
      </c>
      <c r="C16" s="9" t="s">
        <v>22</v>
      </c>
      <c r="D16" s="9"/>
      <c r="E16" s="2" t="s">
        <v>23</v>
      </c>
      <c r="F16" s="2">
        <v>1600</v>
      </c>
      <c r="G16" s="4">
        <f t="shared" si="0"/>
        <v>-7.84</v>
      </c>
      <c r="H16" s="2" t="s">
        <v>24</v>
      </c>
    </row>
    <row r="17" spans="1:8" ht="24.75" customHeight="1" x14ac:dyDescent="0.15">
      <c r="A17" s="9" t="s">
        <v>57</v>
      </c>
      <c r="B17" s="2" t="s">
        <v>58</v>
      </c>
      <c r="C17" s="9" t="s">
        <v>59</v>
      </c>
      <c r="D17" s="9"/>
      <c r="E17" s="2" t="s">
        <v>60</v>
      </c>
      <c r="F17" s="2">
        <v>2700</v>
      </c>
      <c r="G17" s="4">
        <f t="shared" si="0"/>
        <v>182.79</v>
      </c>
      <c r="H17" s="2" t="s">
        <v>61</v>
      </c>
    </row>
    <row r="18" spans="1:8" ht="24.75" customHeight="1" x14ac:dyDescent="0.15">
      <c r="A18" s="9" t="s">
        <v>62</v>
      </c>
      <c r="B18" s="2" t="s">
        <v>63</v>
      </c>
      <c r="C18" s="9" t="s">
        <v>64</v>
      </c>
      <c r="D18" s="9"/>
      <c r="E18" s="2" t="s">
        <v>65</v>
      </c>
      <c r="F18" s="2">
        <v>1700</v>
      </c>
      <c r="G18" s="4">
        <f t="shared" si="0"/>
        <v>70.040000000000006</v>
      </c>
      <c r="H18" s="2" t="s">
        <v>11</v>
      </c>
    </row>
    <row r="19" spans="1:8" ht="24.75" customHeight="1" x14ac:dyDescent="0.15">
      <c r="A19" s="9" t="s">
        <v>66</v>
      </c>
      <c r="B19" s="2" t="s">
        <v>67</v>
      </c>
      <c r="C19" s="9" t="s">
        <v>68</v>
      </c>
      <c r="D19" s="9"/>
      <c r="E19" s="2" t="s">
        <v>69</v>
      </c>
      <c r="F19" s="2">
        <v>900</v>
      </c>
      <c r="G19" s="4">
        <f t="shared" si="0"/>
        <v>-13.77</v>
      </c>
      <c r="H19" s="2" t="s">
        <v>70</v>
      </c>
    </row>
    <row r="20" spans="1:8" ht="24.75" customHeight="1" x14ac:dyDescent="0.15">
      <c r="A20" s="9" t="s">
        <v>71</v>
      </c>
      <c r="B20" s="2" t="s">
        <v>72</v>
      </c>
      <c r="C20" s="9" t="s">
        <v>83</v>
      </c>
      <c r="D20" s="9"/>
      <c r="E20" s="2" t="s">
        <v>52</v>
      </c>
      <c r="F20" s="2">
        <v>1800</v>
      </c>
      <c r="G20" s="4">
        <f t="shared" si="0"/>
        <v>-3.0599999999999996</v>
      </c>
      <c r="H20" s="2" t="s">
        <v>33</v>
      </c>
    </row>
    <row r="21" spans="1:8" ht="24.75" customHeight="1" x14ac:dyDescent="0.15">
      <c r="A21" s="9" t="s">
        <v>73</v>
      </c>
      <c r="B21" s="2" t="s">
        <v>74</v>
      </c>
      <c r="C21" s="9">
        <v>513580</v>
      </c>
      <c r="D21" s="9"/>
      <c r="E21" s="2" t="s">
        <v>52</v>
      </c>
      <c r="F21" s="2">
        <v>2150</v>
      </c>
      <c r="G21" s="4">
        <f t="shared" si="0"/>
        <v>-3.6549999999999998</v>
      </c>
      <c r="H21" s="2" t="s">
        <v>51</v>
      </c>
    </row>
    <row r="22" spans="1:8" ht="24.75" customHeight="1" x14ac:dyDescent="0.15">
      <c r="A22" s="9" t="s">
        <v>75</v>
      </c>
      <c r="B22" s="2"/>
      <c r="C22" s="9"/>
      <c r="D22" s="9"/>
      <c r="E22" s="2"/>
      <c r="F22" s="2">
        <v>3000</v>
      </c>
      <c r="G22" s="4">
        <f t="shared" si="0"/>
        <v>0</v>
      </c>
      <c r="H22" s="2"/>
    </row>
    <row r="23" spans="1:8" ht="24.75" customHeight="1" x14ac:dyDescent="0.15">
      <c r="A23" s="9" t="s">
        <v>76</v>
      </c>
      <c r="B23" s="2"/>
      <c r="C23" s="9"/>
      <c r="D23" s="9"/>
      <c r="E23" s="2"/>
      <c r="F23" s="2">
        <v>2500</v>
      </c>
      <c r="G23" s="4">
        <f t="shared" si="0"/>
        <v>0</v>
      </c>
      <c r="H23" s="2"/>
    </row>
    <row r="24" spans="1:8" ht="24.75" customHeight="1" x14ac:dyDescent="0.15">
      <c r="A24" s="9" t="s">
        <v>77</v>
      </c>
      <c r="B24" s="2"/>
      <c r="C24" s="9"/>
      <c r="D24" s="9"/>
      <c r="E24" s="2"/>
      <c r="F24" s="2">
        <v>2500</v>
      </c>
      <c r="G24" s="4">
        <f t="shared" si="0"/>
        <v>0</v>
      </c>
      <c r="H24" s="2"/>
    </row>
    <row r="25" spans="1:8" ht="24.75" customHeight="1" x14ac:dyDescent="0.15">
      <c r="A25" s="9" t="s">
        <v>78</v>
      </c>
      <c r="B25" s="2"/>
      <c r="C25" s="9"/>
      <c r="D25" s="9"/>
      <c r="E25" s="2"/>
      <c r="F25" s="2">
        <v>2200</v>
      </c>
      <c r="G25" s="4">
        <f t="shared" si="0"/>
        <v>0</v>
      </c>
      <c r="H25" s="2"/>
    </row>
    <row r="26" spans="1:8" ht="24.75" customHeight="1" x14ac:dyDescent="0.15">
      <c r="A26" s="9" t="s">
        <v>79</v>
      </c>
      <c r="B26" s="2"/>
      <c r="C26" s="9"/>
      <c r="D26" s="9"/>
      <c r="E26" s="2"/>
      <c r="F26" s="2">
        <v>2200</v>
      </c>
      <c r="G26" s="4">
        <f t="shared" si="0"/>
        <v>0</v>
      </c>
      <c r="H26" s="2"/>
    </row>
    <row r="27" spans="1:8" ht="24.75" customHeight="1" x14ac:dyDescent="0.15">
      <c r="A27" s="9" t="s">
        <v>80</v>
      </c>
      <c r="B27" s="2"/>
      <c r="C27" s="9" t="s">
        <v>81</v>
      </c>
      <c r="D27" s="9"/>
      <c r="E27" s="2"/>
      <c r="F27" s="2">
        <v>2100</v>
      </c>
      <c r="G27" s="4">
        <f t="shared" si="0"/>
        <v>0</v>
      </c>
      <c r="H27" s="2"/>
    </row>
    <row r="28" spans="1:8" ht="24.75" customHeight="1" x14ac:dyDescent="0.15">
      <c r="A28" s="9" t="s">
        <v>82</v>
      </c>
      <c r="B28" s="2"/>
      <c r="C28" s="9"/>
      <c r="D28" s="9"/>
      <c r="E28" s="2"/>
      <c r="F28" s="2">
        <v>1800</v>
      </c>
      <c r="G28" s="4">
        <f t="shared" si="0"/>
        <v>0</v>
      </c>
      <c r="H28" s="2"/>
    </row>
    <row r="29" spans="1:8" ht="24.75" customHeight="1" x14ac:dyDescent="0.15">
      <c r="A29" s="9" t="s">
        <v>91</v>
      </c>
      <c r="B29" s="2"/>
      <c r="C29" s="9"/>
      <c r="D29" s="9"/>
      <c r="E29" s="2"/>
      <c r="F29" s="2">
        <v>200</v>
      </c>
      <c r="G29" s="4">
        <f t="shared" si="0"/>
        <v>0</v>
      </c>
      <c r="H29" s="2"/>
    </row>
    <row r="30" spans="1:8" ht="24.75" customHeight="1" x14ac:dyDescent="0.15">
      <c r="A30" s="9"/>
      <c r="B30" s="2"/>
      <c r="C30" s="9"/>
      <c r="D30" s="9"/>
      <c r="E30" s="2"/>
      <c r="F30" s="2">
        <f>SUM(F3:F29)</f>
        <v>54450</v>
      </c>
      <c r="G30" s="4">
        <f>SUM(G3:G29)</f>
        <v>532.58500000000004</v>
      </c>
      <c r="H30" s="2"/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基金操作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Jeno Sin</cp:lastModifiedBy>
  <dcterms:created xsi:type="dcterms:W3CDTF">2025-11-03T22:28:54Z</dcterms:created>
  <dcterms:modified xsi:type="dcterms:W3CDTF">2025-11-04T01:09:10Z</dcterms:modified>
</cp:coreProperties>
</file>