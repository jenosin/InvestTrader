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基金操作" sheetId="1" state="visible" r:id="rId1"/>
  </sheets>
  <definedNames>
    <definedName name="_xlnm._FilterDatabase" localSheetId="0" hidden="1">'基金操作'!$A$2:$N$2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_ "/>
  </numFmts>
  <fonts count="4">
    <font>
      <name val="宋体"/>
      <family val="2"/>
      <color theme="1"/>
      <sz val="11"/>
      <scheme val="minor"/>
    </font>
    <font>
      <name val="宋体"/>
      <charset val="134"/>
      <family val="3"/>
      <sz val="9"/>
      <scheme val="minor"/>
    </font>
    <font>
      <name val="等线"/>
      <charset val="134"/>
      <family val="3"/>
      <b val="1"/>
      <color theme="1"/>
      <sz val="11"/>
    </font>
    <font>
      <name val="等线"/>
      <charset val="134"/>
      <family val="3"/>
      <color theme="1"/>
      <sz val="11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49" fontId="3" fillId="2" borderId="0" applyAlignment="1" pivotButton="0" quotePrefix="0" xfId="0">
      <alignment horizontal="center" vertical="center"/>
    </xf>
    <xf numFmtId="49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164" fontId="3" fillId="2" borderId="1" applyAlignment="1" pivotButton="0" quotePrefix="0" xfId="0">
      <alignment horizontal="center" vertical="center"/>
    </xf>
    <xf numFmtId="14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164" fontId="3" fillId="2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1"/>
  <sheetViews>
    <sheetView tabSelected="1" topLeftCell="A8" workbookViewId="0">
      <selection activeCell="F31" sqref="F31"/>
    </sheetView>
  </sheetViews>
  <sheetFormatPr baseColWidth="8" defaultColWidth="10.125" defaultRowHeight="18" customHeight="1"/>
  <cols>
    <col width="9.75" bestFit="1" customWidth="1" style="2" min="1" max="1"/>
    <col width="37.5" bestFit="1" customWidth="1" style="1" min="2" max="2"/>
    <col width="14.125" bestFit="1" customWidth="1" style="2" min="3" max="3"/>
    <col width="18.375" bestFit="1" customWidth="1" style="2" min="4" max="4"/>
    <col width="15" customWidth="1" style="1" min="5" max="5"/>
    <col width="12.5" customWidth="1" style="1" min="6" max="6"/>
    <col width="15.625" customWidth="1" style="1" min="7" max="7"/>
    <col width="39.75" customWidth="1" style="1" min="8" max="8"/>
    <col width="10.125" customWidth="1" style="1" min="9" max="17"/>
    <col width="10.125" customWidth="1" style="1" min="18" max="16384"/>
  </cols>
  <sheetData>
    <row r="1" ht="18" customHeight="1">
      <c r="A1" s="8">
        <f>TODAY()</f>
        <v/>
      </c>
      <c r="B1" s="9" t="n"/>
      <c r="C1" s="9" t="n"/>
      <c r="D1" s="9" t="n"/>
      <c r="E1" s="9" t="n"/>
      <c r="F1" s="9" t="n"/>
      <c r="G1" s="9" t="n"/>
      <c r="H1" s="10" t="n"/>
    </row>
    <row r="2" ht="18" customHeight="1">
      <c r="A2" s="3" t="inlineStr">
        <is>
          <t>基金代码</t>
        </is>
      </c>
      <c r="B2" s="4" t="inlineStr">
        <is>
          <t>基金名称</t>
        </is>
      </c>
      <c r="C2" s="3" t="inlineStr">
        <is>
          <t>追踪ETF/指数</t>
        </is>
      </c>
      <c r="D2" s="3" t="inlineStr">
        <is>
          <t>追踪ETF/指数名称</t>
        </is>
      </c>
      <c r="E2" s="4" t="inlineStr">
        <is>
          <t>预估涨跌幅</t>
        </is>
      </c>
      <c r="F2" s="4" t="inlineStr">
        <is>
          <t>资金</t>
        </is>
      </c>
      <c r="G2" s="4" t="inlineStr">
        <is>
          <t>预估涨跌</t>
        </is>
      </c>
      <c r="H2" s="4" t="inlineStr">
        <is>
          <t>操作建议</t>
        </is>
      </c>
    </row>
    <row r="3" ht="18" customHeight="1">
      <c r="A3" s="5" t="inlineStr">
        <is>
          <t>017437</t>
        </is>
      </c>
      <c r="B3" s="6" t="inlineStr">
        <is>
          <t>华宝纳斯达克精选股票发起式(QDII)C</t>
        </is>
      </c>
      <c r="C3" s="5" t="inlineStr">
        <is>
          <t>513300</t>
        </is>
      </c>
      <c r="D3" s="5" t="inlineStr">
        <is>
          <t>纳斯达克ETF</t>
        </is>
      </c>
      <c r="E3" s="6" t="inlineStr">
        <is>
          <t>-1.20%</t>
        </is>
      </c>
      <c r="F3" s="6" t="n">
        <v>4200</v>
      </c>
      <c r="G3" s="11">
        <f>F3*E3</f>
        <v/>
      </c>
      <c r="H3" s="6" t="inlineStr">
        <is>
          <t>震荡市，建议低位吸纳 200.00</t>
        </is>
      </c>
    </row>
    <row r="4" ht="18" customHeight="1">
      <c r="A4" s="5" t="inlineStr">
        <is>
          <t>015794</t>
        </is>
      </c>
      <c r="B4" s="6" t="inlineStr">
        <is>
          <t>天弘创业板指数增强A</t>
        </is>
      </c>
      <c r="C4" s="5" t="inlineStr">
        <is>
          <t>159915</t>
        </is>
      </c>
      <c r="D4" s="5" t="inlineStr">
        <is>
          <t>创业板ETF</t>
        </is>
      </c>
      <c r="E4" s="6" t="inlineStr">
        <is>
          <t>-0.34%</t>
        </is>
      </c>
      <c r="F4" s="6" t="n">
        <v>3500</v>
      </c>
      <c r="G4" s="11">
        <f>F4*E4</f>
        <v/>
      </c>
      <c r="H4" s="6" t="inlineStr">
        <is>
          <t>弱势上升趋势，建议稳健加仓 200.00</t>
        </is>
      </c>
    </row>
    <row r="5" ht="18" customHeight="1">
      <c r="A5" s="5" t="inlineStr">
        <is>
          <t>014777</t>
        </is>
      </c>
      <c r="B5" s="6" t="inlineStr">
        <is>
          <t>富国中证芯片产业ETF发起式联接C</t>
        </is>
      </c>
      <c r="C5" s="5" t="inlineStr">
        <is>
          <t>159995</t>
        </is>
      </c>
      <c r="D5" s="5" t="inlineStr">
        <is>
          <t>芯片ETF</t>
        </is>
      </c>
      <c r="E5" s="6" t="inlineStr">
        <is>
          <t>-0.89%</t>
        </is>
      </c>
      <c r="F5" s="6" t="n">
        <v>3000</v>
      </c>
      <c r="G5" s="11">
        <f>F5*E5</f>
        <v/>
      </c>
      <c r="H5" s="6" t="inlineStr">
        <is>
          <t>震荡市，建议低位吸纳 200.00</t>
        </is>
      </c>
    </row>
    <row r="6" ht="18" customHeight="1">
      <c r="A6" s="5" t="inlineStr">
        <is>
          <t>011036</t>
        </is>
      </c>
      <c r="B6" s="6" t="inlineStr">
        <is>
          <t>嘉实中证稀土产业ETF联接C</t>
        </is>
      </c>
      <c r="C6" s="5" t="inlineStr">
        <is>
          <t>516150</t>
        </is>
      </c>
      <c r="D6" s="5" t="inlineStr">
        <is>
          <t>稀土ETF嘉实</t>
        </is>
      </c>
      <c r="E6" s="6" t="inlineStr">
        <is>
          <t>-0.99%</t>
        </is>
      </c>
      <c r="F6" s="6" t="n">
        <v>3000</v>
      </c>
      <c r="G6" s="11">
        <f>F6*E6</f>
        <v/>
      </c>
      <c r="H6" s="6" t="inlineStr">
        <is>
          <t>震荡市，建议低位吸纳 200.00</t>
        </is>
      </c>
    </row>
    <row r="7" ht="18" customHeight="1">
      <c r="A7" s="5" t="inlineStr">
        <is>
          <t>025209</t>
        </is>
      </c>
      <c r="B7" s="6" t="inlineStr">
        <is>
          <t>永赢先锋半导体智选混合发起C</t>
        </is>
      </c>
      <c r="C7" s="5" t="inlineStr">
        <is>
          <t>512480</t>
        </is>
      </c>
      <c r="D7" s="5" t="inlineStr">
        <is>
          <t>半导体ETF</t>
        </is>
      </c>
      <c r="E7" s="6" t="inlineStr">
        <is>
          <t>-0.95%</t>
        </is>
      </c>
      <c r="F7" s="6" t="n">
        <v>2700</v>
      </c>
      <c r="G7" s="11">
        <f>F7*E7</f>
        <v/>
      </c>
      <c r="H7" s="6" t="inlineStr">
        <is>
          <t>错误</t>
        </is>
      </c>
    </row>
    <row r="8" ht="18" customHeight="1">
      <c r="A8" s="5" t="inlineStr">
        <is>
          <t>012733</t>
        </is>
      </c>
      <c r="B8" s="6" t="inlineStr">
        <is>
          <t>易方达中证人工智能主题ETF联接A</t>
        </is>
      </c>
      <c r="C8" s="5" t="inlineStr">
        <is>
          <t>515980</t>
        </is>
      </c>
      <c r="D8" s="5" t="inlineStr">
        <is>
          <t>人工智能ETF</t>
        </is>
      </c>
      <c r="E8" s="6" t="inlineStr">
        <is>
          <t>-1.37%</t>
        </is>
      </c>
      <c r="F8" s="6" t="n">
        <v>2500</v>
      </c>
      <c r="G8" s="11">
        <f>F8*E8</f>
        <v/>
      </c>
      <c r="H8" s="6" t="inlineStr">
        <is>
          <t>震荡市，建议高位减持 10.00% 仓位</t>
        </is>
      </c>
    </row>
    <row r="9" ht="18" customHeight="1">
      <c r="A9" s="5" t="inlineStr">
        <is>
          <t>018956</t>
        </is>
      </c>
      <c r="B9" s="6" t="inlineStr">
        <is>
          <t>中航机遇领航混合发起A</t>
        </is>
      </c>
      <c r="C9" s="5" t="inlineStr">
        <is>
          <t>002837</t>
        </is>
      </c>
      <c r="D9" s="5" t="inlineStr">
        <is>
          <t>英维克</t>
        </is>
      </c>
      <c r="E9" s="6" t="inlineStr">
        <is>
          <t>-1.37%</t>
        </is>
      </c>
      <c r="F9" s="6" t="n">
        <v>2500</v>
      </c>
      <c r="G9" s="11">
        <f>F9*E9</f>
        <v/>
      </c>
      <c r="H9" s="6" t="inlineStr">
        <is>
          <t>震荡市，建议高位减持 10.00% 仓位</t>
        </is>
      </c>
    </row>
    <row r="10" ht="18" customHeight="1">
      <c r="A10" s="5" t="inlineStr">
        <is>
          <t>006939</t>
        </is>
      </c>
      <c r="B10" s="6" t="inlineStr">
        <is>
          <t>鹏华沪深300ETF联接(LOF)C</t>
        </is>
      </c>
      <c r="C10" s="5" t="inlineStr">
        <is>
          <t>510300</t>
        </is>
      </c>
      <c r="D10" s="5" t="inlineStr">
        <is>
          <t>沪深300ETF</t>
        </is>
      </c>
      <c r="E10" s="6" t="inlineStr">
        <is>
          <t>-0.15%</t>
        </is>
      </c>
      <c r="F10" s="6" t="n">
        <v>2400</v>
      </c>
      <c r="G10" s="11">
        <f>F10*E10</f>
        <v/>
      </c>
      <c r="H10" s="6" t="inlineStr">
        <is>
          <t>弱势上升趋势，建议稳健加仓 200.00</t>
        </is>
      </c>
    </row>
    <row r="11" ht="18" customHeight="1">
      <c r="A11" s="5" t="inlineStr">
        <is>
          <t>011103</t>
        </is>
      </c>
      <c r="B11" s="6" t="inlineStr">
        <is>
          <t>天弘中证光伏产业指数C</t>
        </is>
      </c>
      <c r="C11" s="5" t="inlineStr">
        <is>
          <t>515790</t>
        </is>
      </c>
      <c r="D11" s="5" t="inlineStr">
        <is>
          <t>光伏ETF</t>
        </is>
      </c>
      <c r="E11" s="6" t="inlineStr">
        <is>
          <t>1.60%</t>
        </is>
      </c>
      <c r="F11" s="6" t="n">
        <v>2300</v>
      </c>
      <c r="G11" s="11">
        <f>F11*E11</f>
        <v/>
      </c>
      <c r="H11" s="6" t="inlineStr">
        <is>
          <t>强势上升趋势(超买)，建议适度加仓 100.00</t>
        </is>
      </c>
    </row>
    <row r="12" ht="18" customHeight="1">
      <c r="A12" s="5" t="inlineStr">
        <is>
          <t>010955</t>
        </is>
      </c>
      <c r="B12" s="6" t="inlineStr">
        <is>
          <t>天弘中证智能汽车指数发起式A</t>
        </is>
      </c>
      <c r="C12" s="5" t="inlineStr">
        <is>
          <t>515250</t>
        </is>
      </c>
      <c r="D12" s="5" t="inlineStr">
        <is>
          <t>智能汽车ETF</t>
        </is>
      </c>
      <c r="E12" s="6" t="inlineStr">
        <is>
          <t>-1.13%</t>
        </is>
      </c>
      <c r="F12" s="6" t="n">
        <v>2200</v>
      </c>
      <c r="G12" s="11">
        <f>F12*E12</f>
        <v/>
      </c>
      <c r="H12" s="6" t="inlineStr">
        <is>
          <t>震荡市，建议低位吸纳 200.00</t>
        </is>
      </c>
    </row>
    <row r="13" ht="18" customHeight="1">
      <c r="A13" s="5" t="inlineStr">
        <is>
          <t>000834</t>
        </is>
      </c>
      <c r="B13" s="6" t="inlineStr">
        <is>
          <t>大成纳斯达克100ETF联接(QDII)A</t>
        </is>
      </c>
      <c r="C13" s="5" t="inlineStr">
        <is>
          <t>513300</t>
        </is>
      </c>
      <c r="D13" s="5" t="inlineStr">
        <is>
          <t>纳斯达克ETF</t>
        </is>
      </c>
      <c r="E13" s="6" t="inlineStr">
        <is>
          <t>-1.32%</t>
        </is>
      </c>
      <c r="F13" s="6" t="n">
        <v>2200</v>
      </c>
      <c r="G13" s="11">
        <f>F13*E13</f>
        <v/>
      </c>
      <c r="H13" s="6" t="inlineStr">
        <is>
          <t>震荡市，建议低位吸纳 200.00</t>
        </is>
      </c>
    </row>
    <row r="14" ht="18" customHeight="1">
      <c r="A14" s="5" t="inlineStr">
        <is>
          <t>015282</t>
        </is>
      </c>
      <c r="B14" s="6" t="inlineStr">
        <is>
          <t>华安恒生科技ETF发起式联接(QDII)A</t>
        </is>
      </c>
      <c r="C14" s="5" t="n">
        <v>513580</v>
      </c>
      <c r="D14" s="5" t="inlineStr">
        <is>
          <t>恒生科技ETF指数</t>
        </is>
      </c>
      <c r="E14" s="6" t="inlineStr">
        <is>
          <t>-0.50%</t>
        </is>
      </c>
      <c r="F14" s="6" t="n">
        <v>2150</v>
      </c>
      <c r="G14" s="11">
        <f>F14*E14</f>
        <v/>
      </c>
      <c r="H14" s="6" t="inlineStr">
        <is>
          <t>震荡市，建议低位吸纳 200.00</t>
        </is>
      </c>
    </row>
    <row r="15" ht="18" customHeight="1">
      <c r="A15" s="5" t="inlineStr">
        <is>
          <t>020981</t>
        </is>
      </c>
      <c r="B15" s="6" t="inlineStr">
        <is>
          <t>华安国证机器人产业指数发起式A</t>
        </is>
      </c>
      <c r="C15" s="5" t="inlineStr">
        <is>
          <t>560630</t>
        </is>
      </c>
      <c r="D15" s="5" t="inlineStr">
        <is>
          <t>机器人产业ETF</t>
        </is>
      </c>
      <c r="E15" s="6" t="inlineStr">
        <is>
          <t>-0.99%</t>
        </is>
      </c>
      <c r="F15" s="6" t="n">
        <v>2100</v>
      </c>
      <c r="G15" s="11">
        <f>F15*E15</f>
        <v/>
      </c>
      <c r="H15" s="6" t="inlineStr">
        <is>
          <t>震荡市，建议低位吸纳 200.00</t>
        </is>
      </c>
    </row>
    <row r="16" ht="18" customHeight="1">
      <c r="A16" s="5" t="inlineStr">
        <is>
          <t>018897</t>
        </is>
      </c>
      <c r="B16" s="6" t="inlineStr">
        <is>
          <t>易方达消费电子ETF联接C</t>
        </is>
      </c>
      <c r="C16" s="5" t="inlineStr">
        <is>
          <t>562950</t>
        </is>
      </c>
      <c r="D16" s="5" t="inlineStr">
        <is>
          <t>消费电子ETF易方达</t>
        </is>
      </c>
      <c r="E16" s="6" t="inlineStr">
        <is>
          <t>-1.54%</t>
        </is>
      </c>
      <c r="F16" s="6" t="n">
        <v>2100</v>
      </c>
      <c r="G16" s="11">
        <f>F16*E16</f>
        <v/>
      </c>
      <c r="H16" s="6" t="inlineStr">
        <is>
          <t>震荡市，建议低位吸纳 200.00</t>
        </is>
      </c>
    </row>
    <row r="17" ht="18" customHeight="1">
      <c r="A17" s="5" t="inlineStr">
        <is>
          <t>014172</t>
        </is>
      </c>
      <c r="B17" s="6" t="inlineStr">
        <is>
          <t>富国中证工业4.0指数(LOF)C</t>
        </is>
      </c>
      <c r="C17" s="5" t="inlineStr">
        <is>
          <t>399803</t>
        </is>
      </c>
      <c r="D17" s="5" t="inlineStr">
        <is>
          <t>工业4.0</t>
        </is>
      </c>
      <c r="E17" s="6" t="inlineStr">
        <is>
          <t>-1.04%</t>
        </is>
      </c>
      <c r="F17" s="6" t="n">
        <v>1800</v>
      </c>
      <c r="G17" s="11">
        <f>F17*E17</f>
        <v/>
      </c>
      <c r="H17" s="6" t="inlineStr">
        <is>
          <t>震荡市，建议高位减持 10.00% 仓位</t>
        </is>
      </c>
    </row>
    <row r="18" ht="18" customHeight="1">
      <c r="A18" s="5" t="inlineStr">
        <is>
          <t>006327</t>
        </is>
      </c>
      <c r="B18" s="6" t="inlineStr">
        <is>
          <t>易方达中证海外互联网50ETF联接(QDII)A</t>
        </is>
      </c>
      <c r="C18" s="5" t="inlineStr">
        <is>
          <t>513050</t>
        </is>
      </c>
      <c r="D18" s="5" t="inlineStr">
        <is>
          <t>中概互联网ETF</t>
        </is>
      </c>
      <c r="E18" s="6" t="inlineStr">
        <is>
          <t>-0.67%</t>
        </is>
      </c>
      <c r="F18" s="6" t="n">
        <v>1800</v>
      </c>
      <c r="G18" s="11">
        <f>F18*E18</f>
        <v/>
      </c>
      <c r="H18" s="6" t="inlineStr">
        <is>
          <t>震荡市，建议低位吸纳 200.00</t>
        </is>
      </c>
    </row>
    <row r="19" ht="18" customHeight="1">
      <c r="A19" s="5" t="inlineStr">
        <is>
          <t>016202</t>
        </is>
      </c>
      <c r="B19" s="6" t="inlineStr">
        <is>
          <t>汇添富全球汽车产业升级混合(QDII)人民币C</t>
        </is>
      </c>
      <c r="C19" s="5" t="inlineStr">
        <is>
          <t>TSLA</t>
        </is>
      </c>
      <c r="D19" s="5" t="inlineStr">
        <is>
          <t>特斯拉</t>
        </is>
      </c>
      <c r="E19" s="6" t="inlineStr">
        <is>
          <t>-3.50%</t>
        </is>
      </c>
      <c r="F19" s="6" t="n">
        <v>1800</v>
      </c>
      <c r="G19" s="11">
        <f>F19*E19</f>
        <v/>
      </c>
      <c r="H19" s="6" t="inlineStr">
        <is>
          <t>震荡市，建议高位减持 10.00% 仓位</t>
        </is>
      </c>
    </row>
    <row r="20" ht="18" customHeight="1">
      <c r="A20" s="5" t="inlineStr">
        <is>
          <t>006888</t>
        </is>
      </c>
      <c r="B20" s="6" t="inlineStr">
        <is>
          <t>诺德新生活混合C</t>
        </is>
      </c>
      <c r="C20" s="5" t="inlineStr">
        <is>
          <t>688498</t>
        </is>
      </c>
      <c r="D20" s="5" t="inlineStr">
        <is>
          <t>源杰科技</t>
        </is>
      </c>
      <c r="E20" s="6" t="inlineStr">
        <is>
          <t>-3.82%</t>
        </is>
      </c>
      <c r="F20" s="6" t="n">
        <v>1700</v>
      </c>
      <c r="G20" s="11">
        <f>F20*E20</f>
        <v/>
      </c>
      <c r="H20" s="6" t="inlineStr">
        <is>
          <t>弱势上升趋势，建议稳健加仓 200.00</t>
        </is>
      </c>
    </row>
    <row r="21" ht="18" customHeight="1">
      <c r="A21" s="5" t="inlineStr">
        <is>
          <t>013195</t>
        </is>
      </c>
      <c r="B21" s="6" t="inlineStr">
        <is>
          <t>招商中证新能源汽车指数A</t>
        </is>
      </c>
      <c r="C21" s="5" t="inlineStr">
        <is>
          <t>516390</t>
        </is>
      </c>
      <c r="D21" s="5" t="inlineStr">
        <is>
          <t>新能源汽车ETF</t>
        </is>
      </c>
      <c r="E21" s="6" t="inlineStr">
        <is>
          <t>-0.20%</t>
        </is>
      </c>
      <c r="F21" s="6" t="n">
        <v>1600</v>
      </c>
      <c r="G21" s="11">
        <f>F21*E21</f>
        <v/>
      </c>
      <c r="H21" s="6" t="inlineStr">
        <is>
          <t>震荡市，建议高位减持 10.00% 仓位</t>
        </is>
      </c>
    </row>
    <row r="22" ht="18" customHeight="1">
      <c r="A22" s="5" t="inlineStr">
        <is>
          <t>020629</t>
        </is>
      </c>
      <c r="B22" s="6" t="inlineStr">
        <is>
          <t>汇添富上证科创板芯片ETF发起式联接C</t>
        </is>
      </c>
      <c r="C22" s="5" t="inlineStr">
        <is>
          <t>588750</t>
        </is>
      </c>
      <c r="D22" s="5" t="inlineStr">
        <is>
          <t>科创芯片50ETF</t>
        </is>
      </c>
      <c r="E22" s="6" t="inlineStr">
        <is>
          <t>-0.74%</t>
        </is>
      </c>
      <c r="F22" s="6" t="n">
        <v>1300</v>
      </c>
      <c r="G22" s="11">
        <f>F22*E22</f>
        <v/>
      </c>
      <c r="H22" s="6" t="inlineStr">
        <is>
          <t>震荡市，建议低位吸纳 200.00</t>
        </is>
      </c>
    </row>
    <row r="23" ht="18" customHeight="1">
      <c r="A23" s="5" t="inlineStr">
        <is>
          <t>016566</t>
        </is>
      </c>
      <c r="B23" s="6" t="inlineStr">
        <is>
          <t>嘉实中证电池主题ETF发起联接A</t>
        </is>
      </c>
      <c r="C23" s="5" t="inlineStr">
        <is>
          <t>562880</t>
        </is>
      </c>
      <c r="D23" s="5" t="inlineStr">
        <is>
          <t>电池ETF嘉实</t>
        </is>
      </c>
      <c r="E23" s="6" t="inlineStr">
        <is>
          <t>0.55%</t>
        </is>
      </c>
      <c r="F23" s="6" t="n">
        <v>1200</v>
      </c>
      <c r="G23" s="11">
        <f>F23*E23</f>
        <v/>
      </c>
      <c r="H23" s="6" t="inlineStr">
        <is>
          <t>强势上升趋势(超买)，建议适度加仓 100.00</t>
        </is>
      </c>
    </row>
    <row r="24" ht="18" customHeight="1">
      <c r="A24" s="5" t="inlineStr">
        <is>
          <t>012734</t>
        </is>
      </c>
      <c r="B24" s="6" t="inlineStr">
        <is>
          <t>易方达中证人工智能主题ETF联接C</t>
        </is>
      </c>
      <c r="C24" s="5" t="inlineStr">
        <is>
          <t>159819</t>
        </is>
      </c>
      <c r="D24" s="5" t="inlineStr">
        <is>
          <t>人工智能ETF</t>
        </is>
      </c>
      <c r="E24" s="6" t="inlineStr">
        <is>
          <t>-1.06%</t>
        </is>
      </c>
      <c r="F24" s="6" t="n">
        <v>1100</v>
      </c>
      <c r="G24" s="11">
        <f>F24*E24</f>
        <v/>
      </c>
      <c r="H24" s="6" t="inlineStr">
        <is>
          <t>震荡市，建议高位减持 10.00% 仓位</t>
        </is>
      </c>
    </row>
    <row r="25" ht="18" customHeight="1">
      <c r="A25" s="5" t="inlineStr">
        <is>
          <t>161724</t>
        </is>
      </c>
      <c r="B25" s="6" t="inlineStr">
        <is>
          <t>招商中证煤炭等权指数(LOF)A</t>
        </is>
      </c>
      <c r="C25" s="5" t="inlineStr">
        <is>
          <t>515220</t>
        </is>
      </c>
      <c r="D25" s="5" t="inlineStr">
        <is>
          <t>煤炭ETF</t>
        </is>
      </c>
      <c r="E25" s="6" t="inlineStr">
        <is>
          <t>-0.08%</t>
        </is>
      </c>
      <c r="F25" s="6" t="n">
        <v>1000</v>
      </c>
      <c r="G25" s="11">
        <f>F25*E25</f>
        <v/>
      </c>
      <c r="H25" s="6" t="inlineStr">
        <is>
          <t>强势上升趋势(超买)，建议适度加仓 100.00</t>
        </is>
      </c>
    </row>
    <row r="26" ht="18" customHeight="1">
      <c r="A26" s="5" t="inlineStr">
        <is>
          <t>022500</t>
        </is>
      </c>
      <c r="B26" s="6" t="inlineStr">
        <is>
          <t>国泰中证全指通信设备ETF联接E</t>
        </is>
      </c>
      <c r="C26" s="5" t="inlineStr">
        <is>
          <t>515880</t>
        </is>
      </c>
      <c r="D26" s="5" t="inlineStr">
        <is>
          <t>通信ETF</t>
        </is>
      </c>
      <c r="E26" s="6" t="inlineStr">
        <is>
          <t>-1.19%</t>
        </is>
      </c>
      <c r="F26" s="6" t="n">
        <v>1000</v>
      </c>
      <c r="G26" s="11">
        <f>F26*E26</f>
        <v/>
      </c>
      <c r="H26" s="6" t="inlineStr">
        <is>
          <t>震荡市，建议高位减持 10.00% 仓位</t>
        </is>
      </c>
    </row>
    <row r="27" ht="18" customHeight="1">
      <c r="A27" s="5" t="inlineStr">
        <is>
          <t>011188</t>
        </is>
      </c>
      <c r="B27" s="6" t="inlineStr">
        <is>
          <t>信澳星奕混合A</t>
        </is>
      </c>
      <c r="C27" s="5" t="inlineStr">
        <is>
          <t>601127</t>
        </is>
      </c>
      <c r="D27" s="5" t="inlineStr">
        <is>
          <t>赛力斯</t>
        </is>
      </c>
      <c r="E27" s="6" t="inlineStr">
        <is>
          <t>-1.69%</t>
        </is>
      </c>
      <c r="F27" s="6" t="n">
        <v>900</v>
      </c>
      <c r="G27" s="11">
        <f>F27*E27</f>
        <v/>
      </c>
      <c r="H27" s="6" t="inlineStr">
        <is>
          <t>弱势下降趋势，建议缓慢减仓 10.00% 仓位</t>
        </is>
      </c>
    </row>
    <row r="28" ht="18" customHeight="1">
      <c r="A28" s="5" t="inlineStr">
        <is>
          <t>019305</t>
        </is>
      </c>
      <c r="B28" s="6" t="inlineStr">
        <is>
          <t>摩根标普500指数(QDII)人民币C</t>
        </is>
      </c>
      <c r="C28" s="5" t="inlineStr">
        <is>
          <t>161125</t>
        </is>
      </c>
      <c r="D28" s="5" t="inlineStr">
        <is>
          <t>标普500LOF</t>
        </is>
      </c>
      <c r="E28" s="6" t="inlineStr">
        <is>
          <t>-0.98%</t>
        </is>
      </c>
      <c r="F28" s="6" t="n">
        <v>200</v>
      </c>
      <c r="G28" s="11">
        <f>F28*E28</f>
        <v/>
      </c>
      <c r="H28" s="6" t="inlineStr">
        <is>
          <t>震荡市，建议低位吸纳 200.00</t>
        </is>
      </c>
    </row>
    <row r="29" ht="18" customHeight="1">
      <c r="A29" s="5" t="inlineStr">
        <is>
          <t>005634</t>
        </is>
      </c>
      <c r="B29" s="6" t="inlineStr">
        <is>
          <t>汇安行业龙头混合A</t>
        </is>
      </c>
      <c r="C29" s="5" t="inlineStr">
        <is>
          <t>688596</t>
        </is>
      </c>
      <c r="D29" s="5" t="inlineStr">
        <is>
          <t>正帆科技</t>
        </is>
      </c>
      <c r="E29" s="6" t="inlineStr">
        <is>
          <t>-0.88%</t>
        </is>
      </c>
      <c r="F29" s="6" t="n">
        <v>1000</v>
      </c>
      <c r="G29" s="11">
        <f>F29*E29</f>
        <v/>
      </c>
      <c r="H29" s="6" t="inlineStr">
        <is>
          <t>强势上升趋势(超买)，建议适度加仓 100.00</t>
        </is>
      </c>
    </row>
    <row r="30" ht="18" customHeight="1">
      <c r="A30" s="5" t="inlineStr">
        <is>
          <t>021074</t>
        </is>
      </c>
      <c r="B30" s="6" t="inlineStr">
        <is>
          <t>华夏中证沪深港黄金产业股票ETF发起式联接A</t>
        </is>
      </c>
      <c r="C30" s="5" t="inlineStr">
        <is>
          <t>159562</t>
        </is>
      </c>
      <c r="D30" s="5" t="inlineStr">
        <is>
          <t>黄金股ETF</t>
        </is>
      </c>
      <c r="E30" s="6" t="inlineStr">
        <is>
          <t>0.48%</t>
        </is>
      </c>
      <c r="F30" s="6" t="n">
        <v>1000</v>
      </c>
      <c r="G30" s="11">
        <f>F30*E30</f>
        <v/>
      </c>
      <c r="H30" s="6" t="inlineStr">
        <is>
          <t>震荡市，建议低位吸纳 200.00</t>
        </is>
      </c>
    </row>
    <row r="31" ht="18" customHeight="1">
      <c r="A31" s="5" t="n"/>
      <c r="B31" s="6" t="n"/>
      <c r="C31" s="5" t="n"/>
      <c r="D31" s="5" t="n"/>
      <c r="E31" s="6" t="n"/>
      <c r="F31" s="6">
        <f>SUM(F3:F30)</f>
        <v/>
      </c>
      <c r="G31" s="11">
        <f>SUM(G3:G30)</f>
        <v/>
      </c>
      <c r="H31" s="6" t="n"/>
    </row>
  </sheetData>
  <autoFilter ref="A2:N2">
    <sortState ref="A3:N29">
      <sortCondition descending="1" ref="F2"/>
    </sortState>
  </autoFilter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2025-11-03T22:28:54Z</dcterms:created>
  <dcterms:modified xsi:type="dcterms:W3CDTF">2025-11-07T01:46:18Z</dcterms:modified>
  <cp:lastModifiedBy>Jeno Sin</cp:lastModifiedBy>
</cp:coreProperties>
</file>